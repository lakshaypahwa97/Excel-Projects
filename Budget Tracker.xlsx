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9f422d3cc24597a/Desktop/"/>
    </mc:Choice>
  </mc:AlternateContent>
  <xr:revisionPtr revIDLastSave="13" documentId="8_{7868FA51-4239-4BC9-82FA-438F70F48928}" xr6:coauthVersionLast="47" xr6:coauthVersionMax="47" xr10:uidLastSave="{1518481C-BA80-4287-B3EF-4DB75DDA8B36}"/>
  <bookViews>
    <workbookView xWindow="-120" yWindow="-120" windowWidth="20730" windowHeight="11160" xr2:uid="{8A832DD1-7CC1-4B74-94E1-A6E6AA3FE541}"/>
  </bookViews>
  <sheets>
    <sheet name="November,2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J28" i="2" s="1"/>
  <c r="M33" i="2"/>
  <c r="C14" i="2" s="1"/>
  <c r="H33" i="2"/>
  <c r="C15" i="2" s="1"/>
  <c r="C33" i="2"/>
  <c r="C16" i="2" s="1"/>
  <c r="N32" i="2"/>
  <c r="I32" i="2"/>
  <c r="J32" i="2" s="1"/>
  <c r="D32" i="2"/>
  <c r="N31" i="2"/>
  <c r="I31" i="2"/>
  <c r="D31" i="2"/>
  <c r="N30" i="2"/>
  <c r="I30" i="2"/>
  <c r="J30" i="2" s="1"/>
  <c r="D30" i="2"/>
  <c r="N29" i="2"/>
  <c r="I29" i="2"/>
  <c r="J29" i="2" s="1"/>
  <c r="D29" i="2"/>
  <c r="N28" i="2"/>
  <c r="C25" i="2"/>
  <c r="M19" i="2" s="1"/>
  <c r="D24" i="2"/>
  <c r="D23" i="2"/>
  <c r="D22" i="2"/>
  <c r="D21" i="2"/>
  <c r="B4" i="2"/>
  <c r="D33" i="2" l="1"/>
  <c r="D16" i="2" s="1"/>
  <c r="C13" i="2"/>
  <c r="M20" i="2" s="1"/>
  <c r="D25" i="2"/>
  <c r="N19" i="2" s="1"/>
  <c r="I33" i="2"/>
  <c r="D15" i="2" s="1"/>
  <c r="J31" i="2"/>
  <c r="N33" i="2"/>
  <c r="D14" i="2" s="1"/>
  <c r="C17" i="2"/>
  <c r="D13" i="2" l="1"/>
  <c r="N21" i="2" s="1"/>
  <c r="M23" i="2"/>
  <c r="M21" i="2"/>
  <c r="M22" i="2"/>
  <c r="D17" i="2" l="1"/>
  <c r="N22" i="2"/>
  <c r="N23" i="2"/>
  <c r="N20" i="2"/>
</calcChain>
</file>

<file path=xl/sharedStrings.xml><?xml version="1.0" encoding="utf-8"?>
<sst xmlns="http://schemas.openxmlformats.org/spreadsheetml/2006/main" count="122" uniqueCount="56">
  <si>
    <t>Actual Cash Flow</t>
  </si>
  <si>
    <t>Date</t>
  </si>
  <si>
    <t>Category</t>
  </si>
  <si>
    <t>Sub-Category</t>
  </si>
  <si>
    <t>Amount</t>
  </si>
  <si>
    <t>Details</t>
  </si>
  <si>
    <t>Budget Dashboard</t>
  </si>
  <si>
    <t>Income</t>
  </si>
  <si>
    <t>Pocket Money</t>
  </si>
  <si>
    <t>Additional Income</t>
  </si>
  <si>
    <t>Main Breakdown</t>
  </si>
  <si>
    <t>Expenses</t>
  </si>
  <si>
    <t>Healthcare</t>
  </si>
  <si>
    <t>Name</t>
  </si>
  <si>
    <t>Budget</t>
  </si>
  <si>
    <t>Actual</t>
  </si>
  <si>
    <t>Pesonal Spending</t>
  </si>
  <si>
    <t>Starting Balance</t>
  </si>
  <si>
    <t>Gym</t>
  </si>
  <si>
    <t>Debts</t>
  </si>
  <si>
    <t>Deepanshu</t>
  </si>
  <si>
    <t>Savings</t>
  </si>
  <si>
    <t>In-hand savings</t>
  </si>
  <si>
    <t>Emergency Funds</t>
  </si>
  <si>
    <t>Rest</t>
  </si>
  <si>
    <t>Ratios &amp; Measurments</t>
  </si>
  <si>
    <t>Ratios</t>
  </si>
  <si>
    <t>Side Income</t>
  </si>
  <si>
    <t>Pocket Money to Income</t>
  </si>
  <si>
    <t>Papa</t>
  </si>
  <si>
    <t>Savings to Income</t>
  </si>
  <si>
    <t>Food to Income</t>
  </si>
  <si>
    <t>Debts to Income</t>
  </si>
  <si>
    <t>Emg. Funds to Income</t>
  </si>
  <si>
    <t>Food</t>
  </si>
  <si>
    <t>Miscellaneous</t>
  </si>
  <si>
    <t>Total</t>
  </si>
  <si>
    <t>Due Date</t>
  </si>
  <si>
    <t>Paid/ Not Paid</t>
  </si>
  <si>
    <t>Himanshu Bhaiya</t>
  </si>
  <si>
    <t>SIPs/Mutual Funds</t>
  </si>
  <si>
    <t>Sis</t>
  </si>
  <si>
    <t>Mamma</t>
  </si>
  <si>
    <t>Received from Mamma</t>
  </si>
  <si>
    <t>Debt cleared</t>
  </si>
  <si>
    <t>Insurance</t>
  </si>
  <si>
    <t>Clothing</t>
  </si>
  <si>
    <t>Bank A/c</t>
  </si>
  <si>
    <t>Canva</t>
  </si>
  <si>
    <t>Protein Milkshake</t>
  </si>
  <si>
    <t>Junk food</t>
  </si>
  <si>
    <t>Green Juice</t>
  </si>
  <si>
    <t>Sold Scrap</t>
  </si>
  <si>
    <t>Paid ₹200; left ₹217</t>
  </si>
  <si>
    <t>Received from Nani ji</t>
  </si>
  <si>
    <t>Temp. received from 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</si>
</sst>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mmmm\,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5A278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BAAE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/>
      <diagonal/>
    </border>
    <border>
      <left/>
      <right/>
      <top style="medium">
        <color theme="9" tint="0.39997558519241921"/>
      </top>
      <bottom/>
      <diagonal/>
    </border>
    <border>
      <left/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/>
      <top/>
      <bottom style="medium">
        <color theme="9" tint="0.39997558519241921"/>
      </bottom>
      <diagonal/>
    </border>
    <border>
      <left/>
      <right/>
      <top/>
      <bottom style="medium">
        <color theme="9" tint="0.39997558519241921"/>
      </bottom>
      <diagonal/>
    </border>
    <border>
      <left/>
      <right style="medium">
        <color theme="9" tint="0.39997558519241921"/>
      </right>
      <top/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/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 style="medium">
        <color theme="7" tint="0.39997558519241921"/>
      </right>
      <top/>
      <bottom style="thin">
        <color theme="7" tint="0.39997558519241921"/>
      </bottom>
      <diagonal/>
    </border>
    <border>
      <left style="medium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medium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medium">
        <color theme="7" tint="0.39997558519241921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medium">
        <color theme="9"/>
      </right>
      <top/>
      <bottom style="thin">
        <color theme="9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thin">
        <color theme="9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medium">
        <color theme="9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 style="thin">
        <color rgb="FFC00000"/>
      </bottom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6" xfId="0" applyFont="1" applyBorder="1"/>
    <xf numFmtId="164" fontId="2" fillId="0" borderId="17" xfId="0" applyNumberFormat="1" applyFont="1" applyBorder="1"/>
    <xf numFmtId="164" fontId="2" fillId="0" borderId="18" xfId="0" applyNumberFormat="1" applyFont="1" applyBorder="1"/>
    <xf numFmtId="0" fontId="0" fillId="0" borderId="19" xfId="0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22" xfId="0" applyBorder="1"/>
    <xf numFmtId="164" fontId="0" fillId="0" borderId="23" xfId="0" applyNumberFormat="1" applyBorder="1"/>
    <xf numFmtId="0" fontId="0" fillId="3" borderId="24" xfId="0" applyFill="1" applyBorder="1"/>
    <xf numFmtId="164" fontId="0" fillId="3" borderId="25" xfId="0" applyNumberFormat="1" applyFill="1" applyBorder="1"/>
    <xf numFmtId="0" fontId="2" fillId="0" borderId="26" xfId="0" applyFont="1" applyBorder="1"/>
    <xf numFmtId="164" fontId="2" fillId="0" borderId="27" xfId="0" applyNumberFormat="1" applyFont="1" applyBorder="1"/>
    <xf numFmtId="164" fontId="2" fillId="0" borderId="28" xfId="0" applyNumberFormat="1" applyFont="1" applyBorder="1"/>
    <xf numFmtId="0" fontId="0" fillId="0" borderId="32" xfId="0" applyBorder="1"/>
    <xf numFmtId="9" fontId="0" fillId="0" borderId="33" xfId="1" applyFont="1" applyBorder="1" applyAlignment="1">
      <alignment horizontal="center"/>
    </xf>
    <xf numFmtId="0" fontId="2" fillId="0" borderId="29" xfId="0" applyFont="1" applyBorder="1"/>
    <xf numFmtId="164" fontId="2" fillId="0" borderId="30" xfId="0" applyNumberFormat="1" applyFont="1" applyBorder="1"/>
    <xf numFmtId="164" fontId="2" fillId="0" borderId="31" xfId="0" applyNumberFormat="1" applyFont="1" applyBorder="1"/>
    <xf numFmtId="0" fontId="0" fillId="0" borderId="34" xfId="0" applyBorder="1"/>
    <xf numFmtId="9" fontId="0" fillId="0" borderId="35" xfId="1" applyFont="1" applyBorder="1" applyAlignment="1">
      <alignment horizontal="center"/>
    </xf>
    <xf numFmtId="0" fontId="0" fillId="0" borderId="36" xfId="0" applyBorder="1"/>
    <xf numFmtId="164" fontId="0" fillId="0" borderId="37" xfId="0" applyNumberFormat="1" applyBorder="1"/>
    <xf numFmtId="164" fontId="0" fillId="0" borderId="38" xfId="0" applyNumberFormat="1" applyBorder="1"/>
    <xf numFmtId="9" fontId="0" fillId="0" borderId="39" xfId="1" applyFont="1" applyBorder="1" applyAlignment="1">
      <alignment horizontal="center"/>
    </xf>
    <xf numFmtId="0" fontId="0" fillId="0" borderId="40" xfId="0" applyBorder="1"/>
    <xf numFmtId="164" fontId="0" fillId="0" borderId="41" xfId="0" applyNumberFormat="1" applyBorder="1"/>
    <xf numFmtId="164" fontId="0" fillId="0" borderId="42" xfId="0" applyNumberFormat="1" applyBorder="1"/>
    <xf numFmtId="0" fontId="0" fillId="0" borderId="43" xfId="0" applyBorder="1"/>
    <xf numFmtId="9" fontId="0" fillId="0" borderId="44" xfId="1" applyFont="1" applyBorder="1"/>
    <xf numFmtId="9" fontId="0" fillId="0" borderId="45" xfId="1" applyFont="1" applyBorder="1"/>
    <xf numFmtId="0" fontId="0" fillId="6" borderId="46" xfId="0" applyFill="1" applyBorder="1"/>
    <xf numFmtId="164" fontId="0" fillId="6" borderId="47" xfId="0" applyNumberFormat="1" applyFill="1" applyBorder="1"/>
    <xf numFmtId="164" fontId="0" fillId="6" borderId="48" xfId="0" applyNumberFormat="1" applyFill="1" applyBorder="1"/>
    <xf numFmtId="0" fontId="2" fillId="0" borderId="49" xfId="0" applyFont="1" applyBorder="1"/>
    <xf numFmtId="0" fontId="2" fillId="0" borderId="50" xfId="0" applyFont="1" applyBorder="1"/>
    <xf numFmtId="164" fontId="2" fillId="0" borderId="50" xfId="0" applyNumberFormat="1" applyFont="1" applyBorder="1"/>
    <xf numFmtId="0" fontId="2" fillId="0" borderId="51" xfId="0" applyFont="1" applyBorder="1"/>
    <xf numFmtId="0" fontId="2" fillId="0" borderId="52" xfId="0" applyFont="1" applyBorder="1"/>
    <xf numFmtId="164" fontId="2" fillId="0" borderId="53" xfId="0" applyNumberFormat="1" applyFont="1" applyBorder="1"/>
    <xf numFmtId="164" fontId="2" fillId="0" borderId="54" xfId="0" applyNumberFormat="1" applyFont="1" applyBorder="1"/>
    <xf numFmtId="0" fontId="2" fillId="0" borderId="55" xfId="0" applyFont="1" applyBorder="1"/>
    <xf numFmtId="164" fontId="2" fillId="0" borderId="56" xfId="0" applyNumberFormat="1" applyFont="1" applyBorder="1"/>
    <xf numFmtId="164" fontId="2" fillId="0" borderId="57" xfId="0" applyNumberFormat="1" applyFont="1" applyBorder="1"/>
    <xf numFmtId="0" fontId="0" fillId="0" borderId="58" xfId="0" applyBorder="1"/>
    <xf numFmtId="0" fontId="0" fillId="0" borderId="59" xfId="0" applyBorder="1"/>
    <xf numFmtId="164" fontId="0" fillId="0" borderId="59" xfId="0" applyNumberFormat="1" applyBorder="1"/>
    <xf numFmtId="0" fontId="0" fillId="0" borderId="60" xfId="0" applyBorder="1" applyAlignment="1">
      <alignment horizontal="center" vertical="center"/>
    </xf>
    <xf numFmtId="0" fontId="0" fillId="0" borderId="61" xfId="0" applyBorder="1"/>
    <xf numFmtId="164" fontId="0" fillId="0" borderId="62" xfId="0" applyNumberFormat="1" applyBorder="1"/>
    <xf numFmtId="164" fontId="0" fillId="0" borderId="63" xfId="0" applyNumberFormat="1" applyBorder="1"/>
    <xf numFmtId="0" fontId="0" fillId="0" borderId="64" xfId="0" applyBorder="1"/>
    <xf numFmtId="164" fontId="0" fillId="0" borderId="65" xfId="0" applyNumberFormat="1" applyBorder="1"/>
    <xf numFmtId="164" fontId="0" fillId="0" borderId="66" xfId="0" applyNumberFormat="1" applyBorder="1"/>
    <xf numFmtId="0" fontId="0" fillId="0" borderId="67" xfId="0" applyBorder="1"/>
    <xf numFmtId="0" fontId="0" fillId="0" borderId="68" xfId="0" applyBorder="1"/>
    <xf numFmtId="164" fontId="0" fillId="0" borderId="68" xfId="0" applyNumberFormat="1" applyBorder="1"/>
    <xf numFmtId="0" fontId="0" fillId="0" borderId="69" xfId="0" applyBorder="1" applyAlignment="1">
      <alignment horizontal="center" vertical="center"/>
    </xf>
    <xf numFmtId="0" fontId="0" fillId="0" borderId="70" xfId="0" applyBorder="1"/>
    <xf numFmtId="164" fontId="0" fillId="0" borderId="71" xfId="0" applyNumberFormat="1" applyBorder="1"/>
    <xf numFmtId="164" fontId="0" fillId="0" borderId="72" xfId="0" applyNumberFormat="1" applyBorder="1"/>
    <xf numFmtId="0" fontId="0" fillId="0" borderId="73" xfId="0" applyBorder="1"/>
    <xf numFmtId="164" fontId="0" fillId="0" borderId="74" xfId="0" applyNumberFormat="1" applyBorder="1"/>
    <xf numFmtId="164" fontId="0" fillId="0" borderId="75" xfId="0" applyNumberFormat="1" applyBorder="1"/>
    <xf numFmtId="14" fontId="0" fillId="0" borderId="76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10" borderId="79" xfId="0" applyFill="1" applyBorder="1"/>
    <xf numFmtId="164" fontId="0" fillId="10" borderId="80" xfId="0" applyNumberFormat="1" applyFill="1" applyBorder="1"/>
    <xf numFmtId="164" fontId="0" fillId="10" borderId="81" xfId="0" applyNumberFormat="1" applyFill="1" applyBorder="1"/>
    <xf numFmtId="0" fontId="0" fillId="11" borderId="82" xfId="0" applyFill="1" applyBorder="1"/>
    <xf numFmtId="0" fontId="0" fillId="11" borderId="83" xfId="0" applyFill="1" applyBorder="1"/>
    <xf numFmtId="164" fontId="0" fillId="11" borderId="83" xfId="0" applyNumberFormat="1" applyFill="1" applyBorder="1"/>
    <xf numFmtId="0" fontId="0" fillId="11" borderId="84" xfId="0" applyFill="1" applyBorder="1"/>
    <xf numFmtId="0" fontId="0" fillId="12" borderId="85" xfId="0" applyFill="1" applyBorder="1"/>
    <xf numFmtId="164" fontId="0" fillId="12" borderId="86" xfId="0" applyNumberFormat="1" applyFill="1" applyBorder="1"/>
    <xf numFmtId="164" fontId="0" fillId="12" borderId="87" xfId="0" applyNumberFormat="1" applyFill="1" applyBorder="1"/>
    <xf numFmtId="14" fontId="0" fillId="0" borderId="88" xfId="0" applyNumberFormat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90" xfId="0" applyBorder="1" applyAlignment="1">
      <alignment horizontal="left" vertical="center"/>
    </xf>
    <xf numFmtId="9" fontId="0" fillId="0" borderId="91" xfId="1" applyFont="1" applyBorder="1" applyAlignment="1">
      <alignment horizontal="center"/>
    </xf>
    <xf numFmtId="0" fontId="8" fillId="7" borderId="49" xfId="0" applyFont="1" applyFill="1" applyBorder="1" applyAlignment="1">
      <alignment horizontal="center"/>
    </xf>
    <xf numFmtId="0" fontId="8" fillId="7" borderId="50" xfId="0" applyFont="1" applyFill="1" applyBorder="1" applyAlignment="1">
      <alignment horizontal="center"/>
    </xf>
    <xf numFmtId="0" fontId="8" fillId="7" borderId="51" xfId="0" applyFont="1" applyFill="1" applyBorder="1" applyAlignment="1">
      <alignment horizontal="center"/>
    </xf>
    <xf numFmtId="0" fontId="9" fillId="8" borderId="52" xfId="0" applyFont="1" applyFill="1" applyBorder="1" applyAlignment="1">
      <alignment horizontal="center"/>
    </xf>
    <xf numFmtId="0" fontId="9" fillId="8" borderId="53" xfId="0" applyFont="1" applyFill="1" applyBorder="1" applyAlignment="1">
      <alignment horizontal="center"/>
    </xf>
    <xf numFmtId="0" fontId="9" fillId="8" borderId="54" xfId="0" applyFont="1" applyFill="1" applyBorder="1" applyAlignment="1">
      <alignment horizontal="center"/>
    </xf>
    <xf numFmtId="0" fontId="10" fillId="9" borderId="55" xfId="0" applyFont="1" applyFill="1" applyBorder="1" applyAlignment="1">
      <alignment horizontal="center"/>
    </xf>
    <xf numFmtId="0" fontId="10" fillId="9" borderId="56" xfId="0" applyFont="1" applyFill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2">
    <dxf>
      <font>
        <color theme="9" tint="-0.499984740745262"/>
      </font>
      <fill>
        <patternFill>
          <bgColor theme="9" tint="0.59996337778862885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strike/>
        <color theme="9" tint="-0.499984740745262"/>
      </font>
    </dxf>
    <dxf>
      <font>
        <color rgb="FFC00000"/>
      </font>
    </dxf>
    <dxf>
      <alignment horizontal="left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rgb="FFA9D08E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rgb="FFD8BFEB"/>
        </patternFill>
      </fill>
      <border diagonalUp="0" diagonalDown="0" outline="0">
        <left style="thin">
          <color rgb="FF7030A0"/>
        </left>
        <right style="medium">
          <color rgb="FF7030A0"/>
        </right>
        <top style="thin">
          <color rgb="FF7030A0"/>
        </top>
        <bottom style="medium">
          <color rgb="FF7030A0"/>
        </bottom>
      </border>
    </dxf>
    <dxf>
      <numFmt numFmtId="0" formatCode="General"/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rgb="FFD8BFEB"/>
        </patternFill>
      </fill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medium">
          <color rgb="FF7030A0"/>
        </bottom>
      </border>
    </dxf>
    <dxf>
      <numFmt numFmtId="0" formatCode="General"/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ill>
        <patternFill patternType="solid">
          <fgColor indexed="64"/>
          <bgColor rgb="FFD8BFEB"/>
        </patternFill>
      </fill>
      <border diagonalUp="0" diagonalDown="0" outline="0">
        <left style="medium">
          <color rgb="FF7030A0"/>
        </left>
        <right style="thin">
          <color rgb="FF7030A0"/>
        </right>
        <top style="thin">
          <color rgb="FF7030A0"/>
        </top>
        <bottom style="medium">
          <color rgb="FF7030A0"/>
        </bottom>
      </border>
    </dxf>
    <dxf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ill>
        <patternFill patternType="solid">
          <fgColor rgb="FF000000"/>
          <bgColor rgb="FFD8BFEB"/>
        </patternFill>
      </fill>
    </dxf>
    <dxf>
      <border>
        <bottom style="medium">
          <color rgb="FF7030A0"/>
        </bottom>
      </border>
    </dxf>
    <dxf>
      <font>
        <b/>
      </font>
      <border diagonalUp="0" diagonalDown="0">
        <left/>
        <right/>
        <top/>
        <bottom/>
        <vertical/>
        <horizontal/>
      </border>
    </dxf>
    <dxf>
      <numFmt numFmtId="164" formatCode="&quot;₹&quot;\ 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C00000"/>
        </left>
        <right style="medium">
          <color rgb="FFC00000"/>
        </right>
        <top style="thin">
          <color rgb="FFC00000"/>
        </top>
        <bottom style="medium">
          <color rgb="FFC00000"/>
        </bottom>
      </border>
    </dxf>
    <dxf>
      <numFmt numFmtId="164" formatCode="&quot;₹&quot;\ #,##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164" formatCode="&quot;₹&quot;\ 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medium">
          <color rgb="FFC00000"/>
        </bottom>
      </border>
    </dxf>
    <dxf>
      <numFmt numFmtId="164" formatCode="&quot;₹&quot;\ #,##0"/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medium">
          <color rgb="FFC00000"/>
        </left>
        <right style="thin">
          <color rgb="FFC00000"/>
        </right>
        <top style="thin">
          <color rgb="FFC00000"/>
        </top>
        <bottom style="medium">
          <color rgb="FFC00000"/>
        </bottom>
      </border>
    </dxf>
    <dxf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fill>
        <patternFill patternType="solid">
          <fgColor rgb="FF000000"/>
          <bgColor rgb="FFFCE4D6"/>
        </patternFill>
      </fill>
    </dxf>
    <dxf>
      <border>
        <bottom style="medium">
          <color rgb="FFC00000"/>
        </bottom>
      </border>
    </dxf>
    <dxf>
      <font>
        <b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499984740745262"/>
        </left>
        <right style="medium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164" formatCode="&quot;₹&quot;\ 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numFmt numFmtId="164" formatCode="&quot;₹&quot;\ #,##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numFmt numFmtId="164" formatCode="&quot;₹&quot;\ 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numFmt numFmtId="164" formatCode="&quot;₹&quot;\ #,##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medium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medium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rgb="FF000000"/>
          <bgColor rgb="FFF2F2F2"/>
        </patternFill>
      </fill>
    </dxf>
    <dxf>
      <border>
        <bottom style="medium">
          <color rgb="FF808080"/>
        </bottom>
      </border>
    </dxf>
    <dxf>
      <font>
        <b/>
      </font>
      <border diagonalUp="0" diagonalDown="0">
        <left/>
        <right/>
        <top/>
        <bottom/>
        <vertical/>
        <horizontal/>
      </border>
    </dxf>
    <dxf>
      <numFmt numFmtId="164" formatCode="&quot;₹&quot;\ 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</border>
    </dxf>
    <dxf>
      <numFmt numFmtId="164" formatCode="&quot;₹&quot;\ #,##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numFmt numFmtId="164" formatCode="&quot;₹&quot;\ 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medium">
          <color theme="4"/>
        </bottom>
      </border>
    </dxf>
    <dxf>
      <numFmt numFmtId="164" formatCode="&quot;₹&quot;\ #,##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medium">
          <color theme="4"/>
        </left>
        <right style="thin">
          <color theme="4"/>
        </right>
        <top style="thin">
          <color theme="4"/>
        </top>
        <bottom style="medium">
          <color theme="4"/>
        </bottom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rgb="FF000000"/>
          <bgColor rgb="FFDDEBF7"/>
        </patternFill>
      </fill>
    </dxf>
    <dxf>
      <border>
        <bottom style="medium">
          <color rgb="FF5B9BD5"/>
        </bottom>
      </border>
    </dxf>
    <dxf>
      <font>
        <b/>
      </font>
      <border diagonalUp="0" diagonalDown="0">
        <left/>
        <right/>
        <top/>
        <bottom/>
        <vertical/>
        <horizontal/>
      </border>
    </dxf>
    <dxf>
      <numFmt numFmtId="164" formatCode="&quot;₹&quot;\ #,##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/>
        </left>
        <right style="medium">
          <color theme="9"/>
        </right>
        <top style="thin">
          <color theme="9"/>
        </top>
        <bottom style="medium">
          <color theme="9"/>
        </bottom>
      </border>
    </dxf>
    <dxf>
      <numFmt numFmtId="164" formatCode="&quot;₹&quot;\ #,##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164" formatCode="&quot;₹&quot;\ #,##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medium">
          <color theme="9"/>
        </bottom>
      </border>
    </dxf>
    <dxf>
      <numFmt numFmtId="164" formatCode="&quot;₹&quot;\ #,##0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 style="medium">
          <color theme="9"/>
        </left>
        <right style="thin">
          <color theme="9"/>
        </right>
        <top style="thin">
          <color theme="9"/>
        </top>
        <bottom style="medium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 patternType="solid">
          <fgColor rgb="FF000000"/>
          <bgColor rgb="FFE2EFDA"/>
        </patternFill>
      </fill>
    </dxf>
    <dxf>
      <border>
        <bottom style="medium">
          <color rgb="FF70AD47"/>
        </bottom>
      </border>
    </dxf>
    <dxf>
      <font>
        <b/>
      </font>
      <border diagonalUp="0" diagonalDown="0">
        <left/>
        <right/>
        <top/>
        <bottom/>
        <vertical/>
        <horizontal/>
      </border>
    </dxf>
    <dxf>
      <numFmt numFmtId="164" formatCode="&quot;₹&quot;\ 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medium">
          <color theme="7" tint="0.39997558519241921"/>
        </bottom>
      </border>
    </dxf>
    <dxf>
      <numFmt numFmtId="164" formatCode="&quot;₹&quot;\ #,##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numFmt numFmtId="164" formatCode="&quot;₹&quot;\ 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medium">
          <color theme="7" tint="0.39997558519241921"/>
        </bottom>
      </border>
    </dxf>
    <dxf>
      <numFmt numFmtId="164" formatCode="&quot;₹&quot;\ #,##0"/>
      <border diagonalUp="0" diagonalDown="0"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medium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medium">
          <color theme="7" tint="0.39997558519241921"/>
        </bottom>
      </border>
    </dxf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ill>
        <patternFill patternType="solid">
          <fgColor rgb="FF000000"/>
          <bgColor rgb="FFFFF2CC"/>
        </patternFill>
      </fill>
    </dxf>
    <dxf>
      <border>
        <bottom style="medium">
          <color rgb="FFFFD966"/>
        </bottom>
      </border>
    </dxf>
    <dxf>
      <font>
        <b/>
      </font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Cash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86105912096626"/>
          <c:y val="0.24330209476092018"/>
          <c:w val="0.56886375360792651"/>
          <c:h val="0.69176622708693225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D-4A78-A070-DA1FC46D816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5D-4A78-A070-DA1FC46D816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5D-4A78-A070-DA1FC46D8160}"/>
              </c:ext>
            </c:extLst>
          </c:dPt>
          <c:dLbls>
            <c:dLbl>
              <c:idx val="0"/>
              <c:layout>
                <c:manualLayout>
                  <c:x val="0.16094933767634606"/>
                  <c:y val="3.95061830805698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26936769088435"/>
                      <c:h val="0.236741061337237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E5D-4A78-A070-DA1FC46D8160}"/>
                </c:ext>
              </c:extLst>
            </c:dLbl>
            <c:dLbl>
              <c:idx val="1"/>
              <c:layout>
                <c:manualLayout>
                  <c:x val="-0.4228814548279648"/>
                  <c:y val="3.0346527615097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54836220385158"/>
                      <c:h val="0.177580292947161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E5D-4A78-A070-DA1FC46D8160}"/>
                </c:ext>
              </c:extLst>
            </c:dLbl>
            <c:dLbl>
              <c:idx val="2"/>
              <c:layout>
                <c:manualLayout>
                  <c:x val="-0.18950940725550303"/>
                  <c:y val="-8.23045480845204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6063320443569"/>
                      <c:h val="0.276345750648585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E5D-4A78-A070-DA1FC46D81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'November,25'!$B$14:$B$16</c:f>
              <c:strCache>
                <c:ptCount val="3"/>
                <c:pt idx="0">
                  <c:v>Expenses</c:v>
                </c:pt>
                <c:pt idx="1">
                  <c:v>Debts</c:v>
                </c:pt>
                <c:pt idx="2">
                  <c:v>Savings</c:v>
                </c:pt>
              </c:strCache>
            </c:strRef>
          </c:cat>
          <c:val>
            <c:numRef>
              <c:f>'November,25'!$D$14:$D$16</c:f>
              <c:numCache>
                <c:formatCode>"₹"\ #,##0</c:formatCode>
                <c:ptCount val="3"/>
                <c:pt idx="0">
                  <c:v>3200</c:v>
                </c:pt>
                <c:pt idx="1">
                  <c:v>1000</c:v>
                </c:pt>
                <c:pt idx="2">
                  <c:v>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5D-4A78-A070-DA1FC46D8160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95000"/>
                    <a:lumOff val="5000"/>
                  </a:schemeClr>
                </a:solidFill>
              </a:rPr>
              <a:t>Left to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62-455B-A136-CDDC65D93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62-455B-A136-CDDC65D9397F}"/>
              </c:ext>
            </c:extLst>
          </c:dPt>
          <c:dLbls>
            <c:delete val="1"/>
          </c:dLbls>
          <c:val>
            <c:numRef>
              <c:f>('November,25'!$D$13,'November,25'!$D$17)</c:f>
              <c:numCache>
                <c:formatCode>"₹"\ #,##0</c:formatCode>
                <c:ptCount val="2"/>
                <c:pt idx="0">
                  <c:v>9760</c:v>
                </c:pt>
                <c:pt idx="1">
                  <c:v>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2-455B-A136-CDDC65D9397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95000"/>
                    <a:lumOff val="5000"/>
                  </a:schemeClr>
                </a:solidFill>
              </a:rPr>
              <a:t>Budgeted Saving</a:t>
            </a:r>
            <a:r>
              <a:rPr lang="en-IN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Rate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D-40EF-BC66-88A8F7976B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9D-40EF-BC66-88A8F7976BBB}"/>
              </c:ext>
            </c:extLst>
          </c:dPt>
          <c:cat>
            <c:strRef>
              <c:f>('November,25'!$B$13,'November,25'!$B$16)</c:f>
              <c:strCache>
                <c:ptCount val="2"/>
                <c:pt idx="0">
                  <c:v>Income</c:v>
                </c:pt>
                <c:pt idx="1">
                  <c:v>Savings</c:v>
                </c:pt>
              </c:strCache>
            </c:strRef>
          </c:cat>
          <c:val>
            <c:numRef>
              <c:f>('November,25'!$C$13,'November,25'!$C$16)</c:f>
              <c:numCache>
                <c:formatCode>"₹"\ #,##0</c:formatCode>
                <c:ptCount val="2"/>
                <c:pt idx="0">
                  <c:v>6600</c:v>
                </c:pt>
                <c:pt idx="1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9D-40EF-BC66-88A8F7976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95000"/>
                    <a:lumOff val="5000"/>
                  </a:schemeClr>
                </a:solidFill>
              </a:rPr>
              <a:t>Budget</a:t>
            </a:r>
            <a:r>
              <a:rPr lang="en-IN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vs Actual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'November,25'!$B$13:$B$16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Debts</c:v>
                </c:pt>
                <c:pt idx="3">
                  <c:v>Savings</c:v>
                </c:pt>
              </c:strCache>
            </c:strRef>
          </c:cat>
          <c:val>
            <c:numRef>
              <c:f>'November,25'!$C$13:$C$16</c:f>
              <c:numCache>
                <c:formatCode>"₹"\ #,##0</c:formatCode>
                <c:ptCount val="4"/>
                <c:pt idx="0">
                  <c:v>6600</c:v>
                </c:pt>
                <c:pt idx="1">
                  <c:v>2270</c:v>
                </c:pt>
                <c:pt idx="2">
                  <c:v>1717</c:v>
                </c:pt>
                <c:pt idx="3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3-4FF6-815C-D84498DD89C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'November,25'!$B$13:$B$16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Debts</c:v>
                </c:pt>
                <c:pt idx="3">
                  <c:v>Savings</c:v>
                </c:pt>
              </c:strCache>
            </c:strRef>
          </c:cat>
          <c:val>
            <c:numRef>
              <c:f>'November,25'!$D$13:$D$16</c:f>
              <c:numCache>
                <c:formatCode>"₹"\ #,##0</c:formatCode>
                <c:ptCount val="4"/>
                <c:pt idx="0">
                  <c:v>9760</c:v>
                </c:pt>
                <c:pt idx="1">
                  <c:v>3200</c:v>
                </c:pt>
                <c:pt idx="2">
                  <c:v>1000</c:v>
                </c:pt>
                <c:pt idx="3">
                  <c:v>4683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3-4FF6-815C-D84498DD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595791"/>
        <c:axId val="1929600111"/>
      </c:barChart>
      <c:catAx>
        <c:axId val="192959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00111"/>
        <c:crosses val="autoZero"/>
        <c:auto val="1"/>
        <c:lblAlgn val="ctr"/>
        <c:lblOffset val="100"/>
        <c:noMultiLvlLbl val="0"/>
      </c:catAx>
      <c:valAx>
        <c:axId val="19296001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9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2</xdr:rowOff>
    </xdr:from>
    <xdr:to>
      <xdr:col>7</xdr:col>
      <xdr:colOff>416719</xdr:colOff>
      <xdr:row>12</xdr:row>
      <xdr:rowOff>178595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DBF10F-106D-4631-910F-C10529D7EEB4}"/>
            </a:ext>
          </a:extLst>
        </xdr:cNvPr>
        <xdr:cNvSpPr/>
      </xdr:nvSpPr>
      <xdr:spPr>
        <a:xfrm>
          <a:off x="3133725" y="581027"/>
          <a:ext cx="2416969" cy="2035968"/>
        </a:xfrm>
        <a:prstGeom prst="rect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561975</xdr:colOff>
      <xdr:row>2</xdr:row>
      <xdr:rowOff>200026</xdr:rowOff>
    </xdr:from>
    <xdr:to>
      <xdr:col>11</xdr:col>
      <xdr:colOff>421480</xdr:colOff>
      <xdr:row>12</xdr:row>
      <xdr:rowOff>176213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699B94-643A-448A-900F-A6CD96C451E4}"/>
            </a:ext>
          </a:extLst>
        </xdr:cNvPr>
        <xdr:cNvSpPr/>
      </xdr:nvSpPr>
      <xdr:spPr>
        <a:xfrm>
          <a:off x="5695950" y="581026"/>
          <a:ext cx="2440780" cy="2033587"/>
        </a:xfrm>
        <a:prstGeom prst="rect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566735</xdr:colOff>
      <xdr:row>2</xdr:row>
      <xdr:rowOff>197648</xdr:rowOff>
    </xdr:from>
    <xdr:to>
      <xdr:col>13</xdr:col>
      <xdr:colOff>678656</xdr:colOff>
      <xdr:row>12</xdr:row>
      <xdr:rowOff>173835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FBD996-E579-4A41-B328-AAC5D16F64E9}"/>
            </a:ext>
          </a:extLst>
        </xdr:cNvPr>
        <xdr:cNvSpPr/>
      </xdr:nvSpPr>
      <xdr:spPr>
        <a:xfrm>
          <a:off x="8281985" y="578648"/>
          <a:ext cx="2397921" cy="2033587"/>
        </a:xfrm>
        <a:prstGeom prst="rect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211934</xdr:colOff>
      <xdr:row>14</xdr:row>
      <xdr:rowOff>33336</xdr:rowOff>
    </xdr:from>
    <xdr:to>
      <xdr:col>10</xdr:col>
      <xdr:colOff>0</xdr:colOff>
      <xdr:row>23</xdr:row>
      <xdr:rowOff>164305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6C1F75F-395D-4255-8717-96FFF3E6166F}"/>
            </a:ext>
          </a:extLst>
        </xdr:cNvPr>
        <xdr:cNvSpPr/>
      </xdr:nvSpPr>
      <xdr:spPr>
        <a:xfrm>
          <a:off x="3136109" y="2852736"/>
          <a:ext cx="4369591" cy="1988344"/>
        </a:xfrm>
        <a:prstGeom prst="rect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35719</xdr:colOff>
      <xdr:row>3</xdr:row>
      <xdr:rowOff>35719</xdr:rowOff>
    </xdr:from>
    <xdr:to>
      <xdr:col>7</xdr:col>
      <xdr:colOff>380999</xdr:colOff>
      <xdr:row>12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43F41B-5960-48DC-A8BE-BBA6911AE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601266</xdr:colOff>
      <xdr:row>3</xdr:row>
      <xdr:rowOff>35719</xdr:rowOff>
    </xdr:from>
    <xdr:to>
      <xdr:col>11</xdr:col>
      <xdr:colOff>357187</xdr:colOff>
      <xdr:row>12</xdr:row>
      <xdr:rowOff>119063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51A709-7114-4420-B2AD-1FE8B97E6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166687</xdr:colOff>
      <xdr:row>7</xdr:row>
      <xdr:rowOff>158748</xdr:rowOff>
    </xdr:from>
    <xdr:to>
      <xdr:col>9</xdr:col>
      <xdr:colOff>1119187</xdr:colOff>
      <xdr:row>9</xdr:row>
      <xdr:rowOff>170654</xdr:rowOff>
    </xdr:to>
    <xdr:sp macro="" textlink="D17">
      <xdr:nvSpPr>
        <xdr:cNvPr id="8" name="TextBox 7">
          <a:extLst>
            <a:ext uri="{FF2B5EF4-FFF2-40B4-BE49-F238E27FC236}">
              <a16:creationId xmlns:a16="http://schemas.microsoft.com/office/drawing/2014/main" id="{52339DA8-D974-407B-AF94-73C5EA822BF6}"/>
            </a:ext>
          </a:extLst>
        </xdr:cNvPr>
        <xdr:cNvSpPr txBox="1"/>
      </xdr:nvSpPr>
      <xdr:spPr>
        <a:xfrm>
          <a:off x="6754812" y="1587498"/>
          <a:ext cx="952500" cy="4087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BF82CF-FF9E-4C80-9E4D-FD659BF4B16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₹ 2,377</a:t>
          </a:fld>
          <a:endParaRPr lang="en-IN" sz="1600" b="1"/>
        </a:p>
      </xdr:txBody>
    </xdr:sp>
    <xdr:clientData/>
  </xdr:twoCellAnchor>
  <xdr:twoCellAnchor>
    <xdr:from>
      <xdr:col>11</xdr:col>
      <xdr:colOff>607218</xdr:colOff>
      <xdr:row>3</xdr:row>
      <xdr:rowOff>23813</xdr:rowOff>
    </xdr:from>
    <xdr:to>
      <xdr:col>13</xdr:col>
      <xdr:colOff>642938</xdr:colOff>
      <xdr:row>13</xdr:row>
      <xdr:rowOff>11906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EDBA3F-39E0-445C-B451-207EB892F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1142999</xdr:colOff>
      <xdr:row>6</xdr:row>
      <xdr:rowOff>116678</xdr:rowOff>
    </xdr:from>
    <xdr:to>
      <xdr:col>12</xdr:col>
      <xdr:colOff>154781</xdr:colOff>
      <xdr:row>8</xdr:row>
      <xdr:rowOff>166686</xdr:rowOff>
    </xdr:to>
    <xdr:sp macro="" textlink="$M$20">
      <xdr:nvSpPr>
        <xdr:cNvPr id="10" name="TextBox 9">
          <a:extLst>
            <a:ext uri="{FF2B5EF4-FFF2-40B4-BE49-F238E27FC236}">
              <a16:creationId xmlns:a16="http://schemas.microsoft.com/office/drawing/2014/main" id="{885A46AF-EC36-4456-B585-FB3B5C46489D}"/>
            </a:ext>
          </a:extLst>
        </xdr:cNvPr>
        <xdr:cNvSpPr txBox="1"/>
      </xdr:nvSpPr>
      <xdr:spPr>
        <a:xfrm>
          <a:off x="8858249" y="1288253"/>
          <a:ext cx="688182" cy="478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ECF97CA-6084-44F8-B307-876677DD83D9}" type="TxLink">
            <a:rPr lang="en-US" sz="2000" b="1" i="0" u="none" strike="noStrike">
              <a:solidFill>
                <a:schemeClr val="tx1">
                  <a:lumMod val="95000"/>
                  <a:lumOff val="5000"/>
                </a:schemeClr>
              </a:solidFill>
              <a:latin typeface="Calibri"/>
              <a:cs typeface="Calibri"/>
            </a:rPr>
            <a:pPr algn="ctr"/>
            <a:t>55%</a:t>
          </a:fld>
          <a:endParaRPr lang="en-IN" sz="32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47626</xdr:colOff>
      <xdr:row>14</xdr:row>
      <xdr:rowOff>71437</xdr:rowOff>
    </xdr:from>
    <xdr:to>
      <xdr:col>9</xdr:col>
      <xdr:colOff>1000126</xdr:colOff>
      <xdr:row>23</xdr:row>
      <xdr:rowOff>107156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8F5770-21EA-4466-A294-B17F150E6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18E0AF-E7CB-4CD6-807B-0A3FA6E8F85D}" name="Table29" displayName="Table29" ref="B11:D17" totalsRowCount="1" headerRowDxfId="71" totalsRowDxfId="69" headerRowBorderDxfId="70">
  <autoFilter ref="B11:D16" xr:uid="{E45ED158-A579-452E-AF3D-209FEC77503E}">
    <filterColumn colId="0" hiddenButton="1"/>
    <filterColumn colId="1" hiddenButton="1"/>
    <filterColumn colId="2" hiddenButton="1"/>
  </autoFilter>
  <tableColumns count="3">
    <tableColumn id="1" xr3:uid="{374D129B-7D52-4C01-89E4-F10827B32010}" name="Name" totalsRowLabel="Rest" dataDxfId="68" totalsRowDxfId="67"/>
    <tableColumn id="2" xr3:uid="{53C74E01-1F16-493F-A745-1A7289CDCD67}" name="Budget" totalsRowFunction="custom" dataDxfId="66" totalsRowDxfId="65">
      <totalsRowFormula>C12+C13-C14-C15-C16</totalsRowFormula>
    </tableColumn>
    <tableColumn id="3" xr3:uid="{63360CD2-2056-4119-B732-6457865BAA52}" name="Actual" totalsRowFunction="custom" dataDxfId="64" totalsRowDxfId="63">
      <totalsRowFormula>D12+D13-D14-D15-D16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8F4D3E-E683-41EA-8359-8F543A29DCA7}" name="Table2510" displayName="Table2510" ref="B20:D25" totalsRowCount="1" headerRowDxfId="62" totalsRowDxfId="60" headerRowBorderDxfId="61">
  <tableColumns count="3">
    <tableColumn id="1" xr3:uid="{EEB9C6C2-0734-4A6F-9914-F64702AE0761}" name="Name" totalsRowLabel="Total" dataDxfId="59" totalsRowDxfId="58"/>
    <tableColumn id="2" xr3:uid="{E8707244-FBCE-4BB3-809B-BF5A074B2AFB}" name="Budget" totalsRowFunction="sum" dataDxfId="57" totalsRowDxfId="56"/>
    <tableColumn id="3" xr3:uid="{EB2B543B-79C5-4BD3-8619-A6A7196F0A8B}" name="Actual" totalsRowFunction="sum" dataDxfId="55" totalsRowDxfId="54">
      <calculatedColumnFormula>SUMIF(Table1315[Sub-Category],Table2510[[#This Row],[Name]],Table1315[Amount])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57319B-3EF3-41DC-8D77-FFD5C555454A}" name="Table25812" displayName="Table25812" ref="B28:D33" totalsRowCount="1" headerRowDxfId="53" totalsRowDxfId="51" headerRowBorderDxfId="52">
  <tableColumns count="3">
    <tableColumn id="1" xr3:uid="{5E6EF492-332D-4310-A6B8-C5D7ED3E5953}" name="Name" totalsRowLabel="Total" dataDxfId="50" totalsRowDxfId="49"/>
    <tableColumn id="2" xr3:uid="{BA9959A4-B861-4846-B415-98B3315C0F3F}" name="Budget" totalsRowFunction="sum" dataDxfId="48" totalsRowDxfId="47"/>
    <tableColumn id="3" xr3:uid="{D8F4436E-4846-484F-9330-C37DAE5262FB}" name="Actual" totalsRowFunction="sum" dataDxfId="46" totalsRowDxfId="45">
      <calculatedColumnFormula>SUMIF(Table1315[Sub-Category],Table25812[[#This Row],[Name]],Table1315[Amount])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163C3E-5A98-48DC-A0EE-F0CA55368202}" name="Table912" displayName="Table912" ref="F27:J33" totalsRowCount="1" headerRowDxfId="44" totalsRowDxfId="42" headerRowBorderDxfId="43">
  <tableColumns count="5">
    <tableColumn id="1" xr3:uid="{297F5BEA-F36E-45A1-8287-7309EBD83001}" name="Name" totalsRowLabel="Total" dataDxfId="41" totalsRowDxfId="40"/>
    <tableColumn id="2" xr3:uid="{C2B3C39A-3C71-4AEE-AE55-6548427B38DE}" name="Due Date" dataDxfId="39" totalsRowDxfId="38"/>
    <tableColumn id="3" xr3:uid="{40E7CDB8-C998-490F-B3E0-167926A4F5DD}" name="Budget" totalsRowFunction="sum" dataDxfId="37" totalsRowDxfId="36"/>
    <tableColumn id="4" xr3:uid="{08834E38-A7FB-4D30-B5B0-BAFF6DFE3551}" name="Actual" totalsRowFunction="sum" dataDxfId="35" totalsRowDxfId="34">
      <calculatedColumnFormula>SUMIF(Table1315[Sub-Category],Table912[[#This Row],[Name]],Table1315[Amount])</calculatedColumnFormula>
    </tableColumn>
    <tableColumn id="5" xr3:uid="{0320883C-BC21-40C8-A436-73E452C6633D}" name="Paid/ Not Paid" dataDxfId="33" totalsRowDxfId="32">
      <calculatedColumnFormula>IF(Table912[Actual]&gt;=Table912[Budget],"Paid","Not Paid")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B293671-E9A6-4065-B158-93199888E071}" name="Table2581114" displayName="Table2581114" ref="L27:N33" totalsRowCount="1" headerRowDxfId="31" totalsRowDxfId="29" headerRowBorderDxfId="30">
  <tableColumns count="3">
    <tableColumn id="1" xr3:uid="{46B7BD7E-BE44-46FD-90A6-C3692F94A69D}" name="Name" totalsRowLabel="Total" dataDxfId="28" totalsRowDxfId="27"/>
    <tableColumn id="2" xr3:uid="{3DD44FC7-39A3-42CE-AF57-947FD0C5F176}" name="Budget" totalsRowFunction="sum" dataDxfId="26" totalsRowDxfId="25"/>
    <tableColumn id="3" xr3:uid="{9569490A-6790-4348-B08C-C0E07B9D96A3}" name="Actual" totalsRowFunction="sum" dataDxfId="24" totalsRowDxfId="23">
      <calculatedColumnFormula>SUMIF(Table1315[Sub-Category],Table2581114[[#This Row],[Name]],Table1315[Amount])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ED2DA9-C016-4986-BB00-A10C61178A3F}" name="Table258111314" displayName="Table258111314" ref="L18:N24" headerRowDxfId="22" totalsRowDxfId="20" headerRowBorderDxfId="21">
  <tableColumns count="3">
    <tableColumn id="1" xr3:uid="{5A4719D5-092D-4CDC-9846-6724B4BAB65F}" name="Ratios" totalsRowLabel="Total" dataDxfId="19" totalsRowDxfId="18"/>
    <tableColumn id="2" xr3:uid="{AF1B9D97-26E9-4C47-8424-31B0E5C7B082}" name="Budget" totalsRowFunction="sum" dataDxfId="17" totalsRowDxfId="16"/>
    <tableColumn id="3" xr3:uid="{069422DF-BDE4-4A2F-8501-095058B44423}" name="Actual" totalsRowFunction="sum" dataDxfId="15" totalsRowDxfId="1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5DE5F9-5573-4502-8CBD-8C186D2D9397}" name="Table1315" displayName="Table1315" ref="P6:T33" totalsRowShown="0" headerRowDxfId="13" dataDxfId="11" headerRowBorderDxfId="12">
  <tableColumns count="5">
    <tableColumn id="1" xr3:uid="{5F151DF5-D4AC-4436-B23E-E0609BF33E11}" name="Date" dataDxfId="10"/>
    <tableColumn id="2" xr3:uid="{19607A35-E65E-4778-8885-18300D83963E}" name="Category" dataDxfId="9"/>
    <tableColumn id="3" xr3:uid="{A5E2613E-974E-4130-976C-E3CC4AE09F5D}" name="Sub-Category" dataDxfId="8"/>
    <tableColumn id="4" xr3:uid="{8BF4BB84-0D3B-42EE-8398-A004EFF53023}" name="Amount" dataDxfId="7"/>
    <tableColumn id="5" xr3:uid="{198ED385-D1BA-4327-B49F-90E8793240C0}" name="Detail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B5DE-C7FB-4134-ADA3-00AA2C229343}">
  <dimension ref="B1:T33"/>
  <sheetViews>
    <sheetView showGridLines="0" tabSelected="1" topLeftCell="A3" zoomScale="80" zoomScaleNormal="80" workbookViewId="0">
      <selection activeCell="P28" sqref="P28"/>
    </sheetView>
  </sheetViews>
  <sheetFormatPr defaultRowHeight="15" x14ac:dyDescent="0.25"/>
  <cols>
    <col min="1" max="1" width="3.140625" customWidth="1"/>
    <col min="2" max="2" width="19.85546875" bestFit="1" customWidth="1"/>
    <col min="3" max="3" width="9.42578125" style="3" customWidth="1"/>
    <col min="4" max="4" width="11.42578125" style="3" bestFit="1" customWidth="1"/>
    <col min="5" max="5" width="3.140625" customWidth="1"/>
    <col min="6" max="6" width="18.7109375" bestFit="1" customWidth="1"/>
    <col min="7" max="7" width="13.28515625" bestFit="1" customWidth="1"/>
    <col min="8" max="8" width="9.42578125" style="3" customWidth="1"/>
    <col min="9" max="9" width="10.28515625" style="3" bestFit="1" customWidth="1"/>
    <col min="10" max="10" width="20.140625" bestFit="1" customWidth="1"/>
    <col min="11" max="11" width="3.140625" customWidth="1"/>
    <col min="12" max="12" width="27.5703125" bestFit="1" customWidth="1"/>
    <col min="13" max="13" width="9.140625" style="3"/>
    <col min="14" max="14" width="10.28515625" style="3" bestFit="1" customWidth="1"/>
    <col min="15" max="15" width="3.140625" customWidth="1"/>
    <col min="16" max="16" width="11.28515625" bestFit="1" customWidth="1"/>
    <col min="17" max="17" width="11" customWidth="1"/>
    <col min="18" max="18" width="19.5703125" bestFit="1" customWidth="1"/>
    <col min="19" max="19" width="10.28515625" customWidth="1"/>
    <col min="20" max="20" width="27" bestFit="1" customWidth="1"/>
  </cols>
  <sheetData>
    <row r="1" spans="2:20" s="1" customFormat="1" x14ac:dyDescent="0.25">
      <c r="C1" s="2"/>
      <c r="D1" s="2"/>
      <c r="H1" s="2"/>
      <c r="I1" s="2"/>
      <c r="M1" s="2"/>
      <c r="N1" s="2"/>
    </row>
    <row r="2" spans="2:20" s="1" customFormat="1" x14ac:dyDescent="0.25">
      <c r="C2" s="2"/>
      <c r="D2" s="2"/>
      <c r="H2" s="2"/>
      <c r="I2" s="2"/>
      <c r="M2" s="2"/>
      <c r="N2" s="2"/>
    </row>
    <row r="3" spans="2:20" ht="15.75" thickBot="1" x14ac:dyDescent="0.3"/>
    <row r="4" spans="2:20" x14ac:dyDescent="0.25">
      <c r="B4" s="102">
        <f>P7</f>
        <v>45992</v>
      </c>
      <c r="C4" s="102"/>
      <c r="D4" s="102"/>
      <c r="P4" s="103" t="s">
        <v>0</v>
      </c>
      <c r="Q4" s="104"/>
      <c r="R4" s="104"/>
      <c r="S4" s="104"/>
      <c r="T4" s="105"/>
    </row>
    <row r="5" spans="2:20" ht="15.75" thickBot="1" x14ac:dyDescent="0.3">
      <c r="B5" s="102"/>
      <c r="C5" s="102"/>
      <c r="D5" s="102"/>
      <c r="P5" s="106"/>
      <c r="Q5" s="107"/>
      <c r="R5" s="107"/>
      <c r="S5" s="107"/>
      <c r="T5" s="108"/>
    </row>
    <row r="6" spans="2:20" ht="15.75" thickBot="1" x14ac:dyDescent="0.3">
      <c r="B6" s="102"/>
      <c r="C6" s="102"/>
      <c r="D6" s="102"/>
      <c r="P6" s="4" t="s">
        <v>1</v>
      </c>
      <c r="Q6" s="5" t="s">
        <v>2</v>
      </c>
      <c r="R6" s="5" t="s">
        <v>3</v>
      </c>
      <c r="S6" s="5" t="s">
        <v>4</v>
      </c>
      <c r="T6" s="6" t="s">
        <v>5</v>
      </c>
    </row>
    <row r="7" spans="2:20" ht="18.75" x14ac:dyDescent="0.3">
      <c r="B7" s="109" t="s">
        <v>6</v>
      </c>
      <c r="C7" s="109"/>
      <c r="D7" s="109"/>
      <c r="P7" s="7">
        <v>45992</v>
      </c>
      <c r="Q7" s="8" t="s">
        <v>7</v>
      </c>
      <c r="R7" s="8" t="s">
        <v>8</v>
      </c>
      <c r="S7" s="8">
        <v>1000</v>
      </c>
      <c r="T7" s="88"/>
    </row>
    <row r="8" spans="2:20" x14ac:dyDescent="0.25">
      <c r="P8" s="9">
        <v>45964</v>
      </c>
      <c r="Q8" s="8" t="s">
        <v>21</v>
      </c>
      <c r="R8" s="8" t="s">
        <v>40</v>
      </c>
      <c r="S8" s="10">
        <v>1500</v>
      </c>
      <c r="T8" s="89" t="s">
        <v>43</v>
      </c>
    </row>
    <row r="9" spans="2:20" ht="15.75" thickBot="1" x14ac:dyDescent="0.3">
      <c r="P9" s="9">
        <v>45965</v>
      </c>
      <c r="Q9" s="8" t="s">
        <v>19</v>
      </c>
      <c r="R9" s="8" t="s">
        <v>39</v>
      </c>
      <c r="S9" s="10">
        <v>200</v>
      </c>
      <c r="T9" s="89" t="s">
        <v>44</v>
      </c>
    </row>
    <row r="10" spans="2:20" ht="19.5" thickBot="1" x14ac:dyDescent="0.35">
      <c r="B10" s="110" t="s">
        <v>10</v>
      </c>
      <c r="C10" s="111"/>
      <c r="D10" s="112"/>
      <c r="P10" s="9">
        <v>45965</v>
      </c>
      <c r="Q10" s="8" t="s">
        <v>11</v>
      </c>
      <c r="R10" s="8" t="s">
        <v>12</v>
      </c>
      <c r="S10" s="10">
        <v>550</v>
      </c>
      <c r="T10" s="89" t="s">
        <v>45</v>
      </c>
    </row>
    <row r="11" spans="2:20" ht="15.75" thickBot="1" x14ac:dyDescent="0.3">
      <c r="B11" s="11" t="s">
        <v>13</v>
      </c>
      <c r="C11" s="12" t="s">
        <v>14</v>
      </c>
      <c r="D11" s="13" t="s">
        <v>15</v>
      </c>
      <c r="P11" s="9">
        <v>45966</v>
      </c>
      <c r="Q11" s="8" t="s">
        <v>11</v>
      </c>
      <c r="R11" s="8" t="s">
        <v>16</v>
      </c>
      <c r="S11" s="10">
        <v>500</v>
      </c>
      <c r="T11" s="89" t="s">
        <v>46</v>
      </c>
    </row>
    <row r="12" spans="2:20" x14ac:dyDescent="0.25">
      <c r="B12" s="14" t="s">
        <v>17</v>
      </c>
      <c r="C12" s="15">
        <v>2000</v>
      </c>
      <c r="D12" s="16">
        <v>1500</v>
      </c>
      <c r="P12" s="9">
        <v>45967</v>
      </c>
      <c r="Q12" s="8" t="s">
        <v>11</v>
      </c>
      <c r="R12" s="8" t="s">
        <v>18</v>
      </c>
      <c r="S12" s="10">
        <v>1200</v>
      </c>
      <c r="T12" s="89"/>
    </row>
    <row r="13" spans="2:20" x14ac:dyDescent="0.25">
      <c r="B13" s="17" t="s">
        <v>7</v>
      </c>
      <c r="C13" s="18">
        <f>Table2510[[#Totals],[Budget]]</f>
        <v>6600</v>
      </c>
      <c r="D13" s="18">
        <f>Table2510[[#Totals],[Actual]]</f>
        <v>9760</v>
      </c>
      <c r="P13" s="9">
        <v>45972</v>
      </c>
      <c r="Q13" s="8" t="s">
        <v>7</v>
      </c>
      <c r="R13" s="8" t="s">
        <v>9</v>
      </c>
      <c r="S13" s="10">
        <v>100</v>
      </c>
      <c r="T13" s="89" t="s">
        <v>43</v>
      </c>
    </row>
    <row r="14" spans="2:20" x14ac:dyDescent="0.25">
      <c r="B14" s="17" t="s">
        <v>11</v>
      </c>
      <c r="C14" s="18">
        <f>Table2581114[[#Totals],[Budget]]</f>
        <v>2270</v>
      </c>
      <c r="D14" s="18">
        <f>Table2581114[[#Totals],[Actual]]</f>
        <v>3200</v>
      </c>
      <c r="P14" s="9">
        <v>45974</v>
      </c>
      <c r="Q14" s="8" t="s">
        <v>19</v>
      </c>
      <c r="R14" s="8" t="s">
        <v>20</v>
      </c>
      <c r="S14" s="10">
        <v>200</v>
      </c>
      <c r="T14" s="89" t="s">
        <v>53</v>
      </c>
    </row>
    <row r="15" spans="2:20" x14ac:dyDescent="0.25">
      <c r="B15" s="17" t="s">
        <v>19</v>
      </c>
      <c r="C15" s="18">
        <f>Table912[[#Totals],[Budget]]</f>
        <v>1717</v>
      </c>
      <c r="D15" s="18">
        <f>Table912[[#Totals],[Actual]]</f>
        <v>1000</v>
      </c>
      <c r="P15" s="9">
        <v>45975</v>
      </c>
      <c r="Q15" s="8" t="s">
        <v>21</v>
      </c>
      <c r="R15" s="8" t="s">
        <v>23</v>
      </c>
      <c r="S15" s="10">
        <v>1200</v>
      </c>
      <c r="T15" s="89"/>
    </row>
    <row r="16" spans="2:20" ht="15.75" thickBot="1" x14ac:dyDescent="0.3">
      <c r="B16" s="17" t="s">
        <v>21</v>
      </c>
      <c r="C16" s="18">
        <f>Table25812[[#Totals],[Budget]]</f>
        <v>3640</v>
      </c>
      <c r="D16" s="18">
        <f>Table25812[[#Totals],[Actual]]</f>
        <v>4683</v>
      </c>
      <c r="P16" s="9">
        <v>45976</v>
      </c>
      <c r="Q16" s="8" t="s">
        <v>7</v>
      </c>
      <c r="R16" s="8" t="s">
        <v>35</v>
      </c>
      <c r="S16" s="10">
        <v>5000</v>
      </c>
      <c r="T16" s="89" t="s">
        <v>55</v>
      </c>
    </row>
    <row r="17" spans="2:20" ht="19.5" thickBot="1" x14ac:dyDescent="0.35">
      <c r="B17" s="19" t="s">
        <v>24</v>
      </c>
      <c r="C17" s="20">
        <f>C12+C13-C14-C15-C16</f>
        <v>973</v>
      </c>
      <c r="D17" s="20">
        <f>D12+D13-D14-D15-D16</f>
        <v>2377</v>
      </c>
      <c r="L17" s="113" t="s">
        <v>25</v>
      </c>
      <c r="M17" s="114"/>
      <c r="N17" s="115"/>
      <c r="P17" s="9">
        <v>45981</v>
      </c>
      <c r="Q17" s="8" t="s">
        <v>21</v>
      </c>
      <c r="R17" s="8" t="s">
        <v>47</v>
      </c>
      <c r="S17" s="10">
        <v>1000</v>
      </c>
      <c r="T17" s="89"/>
    </row>
    <row r="18" spans="2:20" ht="15.75" thickBot="1" x14ac:dyDescent="0.3">
      <c r="L18" s="21" t="s">
        <v>26</v>
      </c>
      <c r="M18" s="22" t="s">
        <v>14</v>
      </c>
      <c r="N18" s="23" t="s">
        <v>15</v>
      </c>
      <c r="P18" s="9">
        <v>45982</v>
      </c>
      <c r="Q18" s="8" t="s">
        <v>7</v>
      </c>
      <c r="R18" s="8" t="s">
        <v>27</v>
      </c>
      <c r="S18" s="10">
        <v>1500</v>
      </c>
      <c r="T18" s="89" t="s">
        <v>48</v>
      </c>
    </row>
    <row r="19" spans="2:20" ht="19.5" thickBot="1" x14ac:dyDescent="0.35">
      <c r="B19" s="116" t="s">
        <v>7</v>
      </c>
      <c r="C19" s="117"/>
      <c r="D19" s="118"/>
      <c r="L19" s="24" t="s">
        <v>28</v>
      </c>
      <c r="M19" s="25">
        <f>C21/Table2510[[#Totals],[Budget]]</f>
        <v>0.13636363636363635</v>
      </c>
      <c r="N19" s="92">
        <f>D21/Table2510[[#Totals],[Actual]]</f>
        <v>0.10245901639344263</v>
      </c>
      <c r="P19" s="9">
        <v>45983</v>
      </c>
      <c r="Q19" s="8" t="s">
        <v>11</v>
      </c>
      <c r="R19" s="8" t="s">
        <v>12</v>
      </c>
      <c r="S19" s="10">
        <v>300</v>
      </c>
      <c r="T19" s="89" t="s">
        <v>49</v>
      </c>
    </row>
    <row r="20" spans="2:20" ht="15.75" thickBot="1" x14ac:dyDescent="0.3">
      <c r="B20" s="26" t="s">
        <v>13</v>
      </c>
      <c r="C20" s="27" t="s">
        <v>14</v>
      </c>
      <c r="D20" s="28" t="s">
        <v>15</v>
      </c>
      <c r="L20" s="29" t="s">
        <v>30</v>
      </c>
      <c r="M20" s="30">
        <f>C16/C13</f>
        <v>0.55151515151515151</v>
      </c>
      <c r="N20" s="30">
        <f>D16/D13</f>
        <v>0.47981557377049178</v>
      </c>
      <c r="P20" s="9">
        <v>45985</v>
      </c>
      <c r="Q20" s="8" t="s">
        <v>21</v>
      </c>
      <c r="R20" s="8" t="s">
        <v>47</v>
      </c>
      <c r="S20" s="10">
        <v>500</v>
      </c>
      <c r="T20" s="89"/>
    </row>
    <row r="21" spans="2:20" x14ac:dyDescent="0.25">
      <c r="B21" s="31" t="s">
        <v>8</v>
      </c>
      <c r="C21" s="32">
        <v>900</v>
      </c>
      <c r="D21" s="33">
        <f>SUMIF(Table1315[Sub-Category],Table2510[[#This Row],[Name]],Table1315[Amount])</f>
        <v>1000</v>
      </c>
      <c r="L21" s="29" t="s">
        <v>31</v>
      </c>
      <c r="M21" s="30">
        <f>M28/C13</f>
        <v>2.2727272727272728E-2</v>
      </c>
      <c r="N21" s="34">
        <f>N28/D13</f>
        <v>4.6106557377049183E-2</v>
      </c>
      <c r="P21" s="9">
        <v>45987</v>
      </c>
      <c r="Q21" s="8" t="s">
        <v>19</v>
      </c>
      <c r="R21" s="8" t="s">
        <v>41</v>
      </c>
      <c r="S21" s="10">
        <v>500</v>
      </c>
      <c r="T21" s="89" t="s">
        <v>44</v>
      </c>
    </row>
    <row r="22" spans="2:20" x14ac:dyDescent="0.25">
      <c r="B22" s="35" t="s">
        <v>9</v>
      </c>
      <c r="C22" s="36">
        <v>1100</v>
      </c>
      <c r="D22" s="37">
        <f>SUMIF(Table1315[Sub-Category],Table2510[[#This Row],[Name]],Table1315[Amount])</f>
        <v>2200</v>
      </c>
      <c r="L22" s="29" t="s">
        <v>32</v>
      </c>
      <c r="M22" s="30">
        <f>C15/C13</f>
        <v>0.26015151515151513</v>
      </c>
      <c r="N22" s="34">
        <f>D15/D13</f>
        <v>0.10245901639344263</v>
      </c>
      <c r="P22" s="9">
        <v>45988</v>
      </c>
      <c r="Q22" s="8" t="s">
        <v>21</v>
      </c>
      <c r="R22" s="8" t="s">
        <v>47</v>
      </c>
      <c r="S22" s="10">
        <v>483</v>
      </c>
      <c r="T22" s="89"/>
    </row>
    <row r="23" spans="2:20" x14ac:dyDescent="0.25">
      <c r="B23" s="35" t="s">
        <v>27</v>
      </c>
      <c r="C23" s="36">
        <v>2500</v>
      </c>
      <c r="D23" s="37">
        <f>SUMIF(Table1315[Sub-Category],Table2510[[#This Row],[Name]],Table1315[Amount])</f>
        <v>1500</v>
      </c>
      <c r="L23" s="29" t="s">
        <v>33</v>
      </c>
      <c r="M23" s="30">
        <f>C31/C13</f>
        <v>3.1818181818181815E-2</v>
      </c>
      <c r="N23" s="34">
        <f>D31/D13</f>
        <v>0.12295081967213115</v>
      </c>
      <c r="P23" s="9">
        <v>45989</v>
      </c>
      <c r="Q23" s="8" t="s">
        <v>11</v>
      </c>
      <c r="R23" s="8" t="s">
        <v>34</v>
      </c>
      <c r="S23" s="10">
        <v>450</v>
      </c>
      <c r="T23" s="89" t="s">
        <v>50</v>
      </c>
    </row>
    <row r="24" spans="2:20" ht="15.75" thickBot="1" x14ac:dyDescent="0.3">
      <c r="B24" s="35" t="s">
        <v>35</v>
      </c>
      <c r="C24" s="36">
        <v>2100</v>
      </c>
      <c r="D24" s="37">
        <f>SUMIF(Table1315[Sub-Category],Table2510[[#This Row],[Name]],Table1315[Amount])</f>
        <v>5060</v>
      </c>
      <c r="L24" s="38"/>
      <c r="M24" s="39"/>
      <c r="N24" s="40"/>
      <c r="P24" s="9">
        <v>45990</v>
      </c>
      <c r="Q24" s="8" t="s">
        <v>11</v>
      </c>
      <c r="R24" s="8" t="s">
        <v>12</v>
      </c>
      <c r="S24" s="10">
        <v>200</v>
      </c>
      <c r="T24" s="89" t="s">
        <v>51</v>
      </c>
    </row>
    <row r="25" spans="2:20" ht="15.75" thickBot="1" x14ac:dyDescent="0.3">
      <c r="B25" s="41" t="s">
        <v>36</v>
      </c>
      <c r="C25" s="42">
        <f>SUBTOTAL(109,Table2510[Budget])</f>
        <v>6600</v>
      </c>
      <c r="D25" s="43">
        <f>SUBTOTAL(109,Table2510[Actual])</f>
        <v>9760</v>
      </c>
      <c r="P25" s="9">
        <v>45990</v>
      </c>
      <c r="Q25" s="8" t="s">
        <v>7</v>
      </c>
      <c r="R25" s="8" t="s">
        <v>35</v>
      </c>
      <c r="S25" s="10">
        <v>60</v>
      </c>
      <c r="T25" s="89" t="s">
        <v>52</v>
      </c>
    </row>
    <row r="26" spans="2:20" ht="19.5" thickBot="1" x14ac:dyDescent="0.35">
      <c r="F26" s="93" t="s">
        <v>19</v>
      </c>
      <c r="G26" s="94"/>
      <c r="H26" s="94"/>
      <c r="I26" s="94"/>
      <c r="J26" s="95"/>
      <c r="L26" s="96" t="s">
        <v>11</v>
      </c>
      <c r="M26" s="97"/>
      <c r="N26" s="98"/>
      <c r="P26" s="9">
        <v>45991</v>
      </c>
      <c r="Q26" s="8" t="s">
        <v>7</v>
      </c>
      <c r="R26" s="8" t="s">
        <v>9</v>
      </c>
      <c r="S26" s="10">
        <v>2100</v>
      </c>
      <c r="T26" s="89" t="s">
        <v>54</v>
      </c>
    </row>
    <row r="27" spans="2:20" ht="19.5" thickBot="1" x14ac:dyDescent="0.35">
      <c r="B27" s="99" t="s">
        <v>21</v>
      </c>
      <c r="C27" s="100"/>
      <c r="D27" s="101"/>
      <c r="F27" s="44" t="s">
        <v>13</v>
      </c>
      <c r="G27" s="45" t="s">
        <v>37</v>
      </c>
      <c r="H27" s="46" t="s">
        <v>14</v>
      </c>
      <c r="I27" s="46" t="s">
        <v>15</v>
      </c>
      <c r="J27" s="47" t="s">
        <v>38</v>
      </c>
      <c r="L27" s="48" t="s">
        <v>13</v>
      </c>
      <c r="M27" s="49" t="s">
        <v>14</v>
      </c>
      <c r="N27" s="50" t="s">
        <v>15</v>
      </c>
      <c r="P27" s="9">
        <v>45991</v>
      </c>
      <c r="Q27" s="8" t="s">
        <v>19</v>
      </c>
      <c r="R27" s="8" t="s">
        <v>42</v>
      </c>
      <c r="S27" s="10">
        <v>100</v>
      </c>
      <c r="T27" s="89" t="s">
        <v>44</v>
      </c>
    </row>
    <row r="28" spans="2:20" ht="15.75" thickBot="1" x14ac:dyDescent="0.3">
      <c r="B28" s="51" t="s">
        <v>13</v>
      </c>
      <c r="C28" s="52" t="s">
        <v>14</v>
      </c>
      <c r="D28" s="53" t="s">
        <v>15</v>
      </c>
      <c r="F28" s="54" t="s">
        <v>20</v>
      </c>
      <c r="G28" s="55"/>
      <c r="H28" s="56">
        <v>417</v>
      </c>
      <c r="I28" s="56">
        <f>SUMIF(Table1315[Sub-Category],Table912[[#This Row],[Name]],Table1315[Amount])</f>
        <v>200</v>
      </c>
      <c r="J28" s="57" t="str">
        <f>IF(Table912[Actual]&gt;=Table912[Budget],"Paid","Not Paid")</f>
        <v>Not Paid</v>
      </c>
      <c r="L28" s="58" t="s">
        <v>34</v>
      </c>
      <c r="M28" s="59">
        <v>150</v>
      </c>
      <c r="N28" s="60">
        <f>SUMIF(Table1315[Sub-Category],Table2581114[[#This Row],[Name]],Table1315[Amount])</f>
        <v>450</v>
      </c>
      <c r="P28" s="9"/>
      <c r="Q28" s="8"/>
      <c r="R28" s="8"/>
      <c r="S28" s="10"/>
      <c r="T28" s="89"/>
    </row>
    <row r="29" spans="2:20" x14ac:dyDescent="0.25">
      <c r="B29" s="61" t="s">
        <v>22</v>
      </c>
      <c r="C29" s="62">
        <v>2100</v>
      </c>
      <c r="D29" s="63">
        <f>SUMIF(Table1315[Sub-Category],Table25812[[#This Row],[Name]],Table1315[Amount])</f>
        <v>0</v>
      </c>
      <c r="F29" s="64" t="s">
        <v>39</v>
      </c>
      <c r="G29" s="65"/>
      <c r="H29" s="66">
        <v>200</v>
      </c>
      <c r="I29" s="66">
        <f>SUMIF(Table1315[Sub-Category],Table912[[#This Row],[Name]],Table1315[Amount])</f>
        <v>200</v>
      </c>
      <c r="J29" s="67" t="str">
        <f>IF(Table912[Actual]&gt;=Table912[Budget],"Paid","Not Paid")</f>
        <v>Paid</v>
      </c>
      <c r="L29" s="68" t="s">
        <v>12</v>
      </c>
      <c r="M29" s="69">
        <v>1000</v>
      </c>
      <c r="N29" s="70">
        <f>SUMIF(Table1315[Sub-Category],Table2581114[[#This Row],[Name]],Table1315[Amount])</f>
        <v>1050</v>
      </c>
      <c r="P29" s="9"/>
      <c r="Q29" s="8"/>
      <c r="R29" s="8"/>
      <c r="S29" s="10"/>
      <c r="T29" s="89"/>
    </row>
    <row r="30" spans="2:20" x14ac:dyDescent="0.25">
      <c r="B30" s="71" t="s">
        <v>40</v>
      </c>
      <c r="C30" s="72">
        <v>230</v>
      </c>
      <c r="D30" s="73">
        <f>SUMIF(Table1315[Sub-Category],Table25812[[#This Row],[Name]],Table1315[Amount])</f>
        <v>1500</v>
      </c>
      <c r="F30" s="64" t="s">
        <v>41</v>
      </c>
      <c r="G30" s="65"/>
      <c r="H30" s="66">
        <v>500</v>
      </c>
      <c r="I30" s="66">
        <f>SUMIF(Table1315[Sub-Category],Table912[[#This Row],[Name]],Table1315[Amount])</f>
        <v>500</v>
      </c>
      <c r="J30" s="67" t="str">
        <f>IF(Table912[Actual]&gt;=Table912[Budget],"Paid","Not Paid")</f>
        <v>Paid</v>
      </c>
      <c r="L30" s="68" t="s">
        <v>16</v>
      </c>
      <c r="M30" s="69">
        <v>120</v>
      </c>
      <c r="N30" s="70">
        <f>SUMIF(Table1315[Sub-Category],Table2581114[[#This Row],[Name]],Table1315[Amount])</f>
        <v>500</v>
      </c>
      <c r="P30" s="9"/>
      <c r="Q30" s="8"/>
      <c r="R30" s="8"/>
      <c r="S30" s="10"/>
      <c r="T30" s="89"/>
    </row>
    <row r="31" spans="2:20" x14ac:dyDescent="0.25">
      <c r="B31" s="71" t="s">
        <v>23</v>
      </c>
      <c r="C31" s="72">
        <v>210</v>
      </c>
      <c r="D31" s="73">
        <f>SUMIF(Table1315[Sub-Category],Table25812[[#This Row],[Name]],Table1315[Amount])</f>
        <v>1200</v>
      </c>
      <c r="F31" s="64" t="s">
        <v>29</v>
      </c>
      <c r="G31" s="65"/>
      <c r="H31" s="66">
        <v>500</v>
      </c>
      <c r="I31" s="66">
        <f>SUMIF(Table1315[Sub-Category],Table912[[#This Row],[Name]],Table1315[Amount])</f>
        <v>0</v>
      </c>
      <c r="J31" s="67" t="str">
        <f>IF(Table912[Actual]&gt;=Table912[Budget],"Paid","Not Paid")</f>
        <v>Not Paid</v>
      </c>
      <c r="L31" s="68" t="s">
        <v>18</v>
      </c>
      <c r="M31" s="69">
        <v>1000</v>
      </c>
      <c r="N31" s="70">
        <f>SUMIF(Table1315[Sub-Category],Table2581114[[#This Row],[Name]],Table1315[Amount])</f>
        <v>1200</v>
      </c>
      <c r="P31" s="9"/>
      <c r="Q31" s="8"/>
      <c r="R31" s="8"/>
      <c r="S31" s="10"/>
      <c r="T31" s="89"/>
    </row>
    <row r="32" spans="2:20" x14ac:dyDescent="0.25">
      <c r="B32" s="71" t="s">
        <v>47</v>
      </c>
      <c r="C32" s="72">
        <v>1100</v>
      </c>
      <c r="D32" s="73">
        <f>SUMIF(Table1315[Sub-Category],Table25812[[#This Row],[Name]],Table1315[Amount])</f>
        <v>1983</v>
      </c>
      <c r="F32" s="64" t="s">
        <v>42</v>
      </c>
      <c r="G32" s="65"/>
      <c r="H32" s="66">
        <v>100</v>
      </c>
      <c r="I32" s="66">
        <f>SUMIF(Table1315[Sub-Category],Table912[[#This Row],[Name]],Table1315[Amount])</f>
        <v>100</v>
      </c>
      <c r="J32" s="67" t="str">
        <f>IF(Table912[Actual]&gt;=Table912[Budget],"Paid","Not Paid")</f>
        <v>Paid</v>
      </c>
      <c r="L32" s="68"/>
      <c r="M32" s="69"/>
      <c r="N32" s="70">
        <f>SUMIF(Table1315[Sub-Category],Table2581114[[#This Row],[Name]],Table1315[Amount])</f>
        <v>0</v>
      </c>
      <c r="P32" s="74"/>
      <c r="Q32" s="8"/>
      <c r="R32" s="8"/>
      <c r="S32" s="75"/>
      <c r="T32" s="90"/>
    </row>
    <row r="33" spans="2:20" ht="15.75" thickBot="1" x14ac:dyDescent="0.3">
      <c r="B33" s="76" t="s">
        <v>36</v>
      </c>
      <c r="C33" s="77">
        <f>SUBTOTAL(109,Table25812[Budget])</f>
        <v>3640</v>
      </c>
      <c r="D33" s="78">
        <f>SUBTOTAL(109,Table25812[Actual])</f>
        <v>4683</v>
      </c>
      <c r="F33" s="79" t="s">
        <v>36</v>
      </c>
      <c r="G33" s="80"/>
      <c r="H33" s="81">
        <f>SUBTOTAL(109,Table912[Budget])</f>
        <v>1717</v>
      </c>
      <c r="I33" s="81">
        <f>SUBTOTAL(109,Table912[Actual])</f>
        <v>1000</v>
      </c>
      <c r="J33" s="82"/>
      <c r="L33" s="83" t="s">
        <v>36</v>
      </c>
      <c r="M33" s="84">
        <f>SUBTOTAL(109,Table2581114[Budget])</f>
        <v>2270</v>
      </c>
      <c r="N33" s="85">
        <f>SUBTOTAL(109,Table2581114[Actual])</f>
        <v>3200</v>
      </c>
      <c r="P33" s="86"/>
      <c r="Q33" s="8"/>
      <c r="R33" s="8"/>
      <c r="S33" s="87"/>
      <c r="T33" s="91"/>
    </row>
  </sheetData>
  <mergeCells count="9">
    <mergeCell ref="F26:J26"/>
    <mergeCell ref="L26:N26"/>
    <mergeCell ref="B27:D27"/>
    <mergeCell ref="B4:D6"/>
    <mergeCell ref="P4:T5"/>
    <mergeCell ref="B7:D7"/>
    <mergeCell ref="B10:D10"/>
    <mergeCell ref="L17:N17"/>
    <mergeCell ref="B19:D19"/>
  </mergeCells>
  <conditionalFormatting sqref="J28:J32">
    <cfRule type="expression" dxfId="5" priority="1">
      <formula>J28="Not Paid"</formula>
    </cfRule>
    <cfRule type="expression" dxfId="4" priority="2">
      <formula>J28="Paid"</formula>
    </cfRule>
  </conditionalFormatting>
  <conditionalFormatting sqref="Q7:Q33">
    <cfRule type="expression" dxfId="3" priority="3">
      <formula>Q7=$L$26</formula>
    </cfRule>
    <cfRule type="expression" dxfId="2" priority="4">
      <formula>Q7=$F$26</formula>
    </cfRule>
    <cfRule type="expression" dxfId="1" priority="5">
      <formula>Q7=$B$27</formula>
    </cfRule>
    <cfRule type="expression" dxfId="0" priority="6">
      <formula>Q7=$B$19</formula>
    </cfRule>
  </conditionalFormatting>
  <dataValidations count="2">
    <dataValidation type="list" allowBlank="1" showInputMessage="1" showErrorMessage="1" sqref="Q7:Q33" xr:uid="{86AD6E56-4871-4592-8FB8-C362A6642B7E}">
      <formula1>$B$12:$B$16</formula1>
    </dataValidation>
    <dataValidation type="list" allowBlank="1" showInputMessage="1" showErrorMessage="1" sqref="R7:R33" xr:uid="{C173F0B8-59D9-4108-B03D-C572EEF4CD08}">
      <formula1>_xlfn.IFS(Q7=$B$19,$B$21:$B$24,Q7=$B$27,$B$29:$B$32,Q7=$F$26,$F$28:$F$32,Q7=$L$26,$L$28:$L$32)</formula1>
    </dataValidation>
  </dataValidation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November,25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Pahwa</dc:creator>
  <cp:lastModifiedBy>Lakshay Pahwa</cp:lastModifiedBy>
  <dcterms:created xsi:type="dcterms:W3CDTF">2025-12-01T15:44:56Z</dcterms:created>
  <dcterms:modified xsi:type="dcterms:W3CDTF">2025-12-05T12:50:05Z</dcterms:modified>
</cp:coreProperties>
</file>